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55775e314bd799/Maestría IA Aplicada/Semestre 1/Aprendizaje automático III/Talleres/Taller 3/"/>
    </mc:Choice>
  </mc:AlternateContent>
  <xr:revisionPtr revIDLastSave="185" documentId="8_{B1D44CD4-F765-41BB-8147-D381176485D5}" xr6:coauthVersionLast="47" xr6:coauthVersionMax="47" xr10:uidLastSave="{F4EB8658-AA96-4A69-9811-6746ECE1F7D7}"/>
  <bookViews>
    <workbookView xWindow="-20610" yWindow="-2475" windowWidth="20730" windowHeight="11040" xr2:uid="{AD1B03CA-9232-4F2D-A5D2-63064345160B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<sst xmlns="http://schemas.openxmlformats.org/spreadsheetml/2006/main" count="212" uniqueCount="185">
  <si>
    <t>Modelo</t>
  </si>
  <si>
    <t>RMSE</t>
  </si>
  <si>
    <t>MA(2)</t>
  </si>
  <si>
    <t>169.19</t>
  </si>
  <si>
    <t>MA(3)</t>
  </si>
  <si>
    <t>181.44</t>
  </si>
  <si>
    <t>MA(4)</t>
  </si>
  <si>
    <t>212.78</t>
  </si>
  <si>
    <t>MA(5)</t>
  </si>
  <si>
    <t>217.05</t>
  </si>
  <si>
    <t>MA(6)</t>
  </si>
  <si>
    <t>213.33</t>
  </si>
  <si>
    <t>Suavización Exponencial Simple</t>
  </si>
  <si>
    <t>177.99</t>
  </si>
  <si>
    <t>Suavización Exponencial Lineal (Holt)</t>
  </si>
  <si>
    <t>261.62</t>
  </si>
  <si>
    <t>Suavización Exponencial Lineal de Winters (Holt-Winters)</t>
  </si>
  <si>
    <t>208.88</t>
  </si>
  <si>
    <t>Suavización Exponencial Lineal de Winters (Holt-Winters) sin componente de tendencia</t>
  </si>
  <si>
    <t>107.53</t>
  </si>
  <si>
    <t>Fecha</t>
  </si>
  <si>
    <t>Pronóstico</t>
  </si>
  <si>
    <t>Límite inferior</t>
  </si>
  <si>
    <t>Límite superior</t>
  </si>
  <si>
    <t>Periodo</t>
  </si>
  <si>
    <t>10 879.75</t>
  </si>
  <si>
    <t>10 650.83</t>
  </si>
  <si>
    <t>11 108.66</t>
  </si>
  <si>
    <t>10 853.74</t>
  </si>
  <si>
    <t>10 586.44</t>
  </si>
  <si>
    <t>11 121.03</t>
  </si>
  <si>
    <t>10 913.53</t>
  </si>
  <si>
    <t>10 612.72</t>
  </si>
  <si>
    <t>11 214.33</t>
  </si>
  <si>
    <t>11 023.38</t>
  </si>
  <si>
    <t>10 692.43</t>
  </si>
  <si>
    <t>11 354.33</t>
  </si>
  <si>
    <t>11 033.29</t>
  </si>
  <si>
    <t>10 674.72</t>
  </si>
  <si>
    <t>11 391.85</t>
  </si>
  <si>
    <t>10 940.04</t>
  </si>
  <si>
    <t>10 555.84</t>
  </si>
  <si>
    <t>11 324.25</t>
  </si>
  <si>
    <t>Límite inferior (95%)</t>
  </si>
  <si>
    <t>Límite superior (95%)</t>
  </si>
  <si>
    <t>11 522.85</t>
  </si>
  <si>
    <t>11 078.63</t>
  </si>
  <si>
    <t>11 967.07</t>
  </si>
  <si>
    <t>11 525.76</t>
  </si>
  <si>
    <t>11 081.07</t>
  </si>
  <si>
    <t>11 970.45</t>
  </si>
  <si>
    <t>11 592.97</t>
  </si>
  <si>
    <t>11 147.80</t>
  </si>
  <si>
    <t>12 038.14</t>
  </si>
  <si>
    <t>11 733.68</t>
  </si>
  <si>
    <t>11 288.02</t>
  </si>
  <si>
    <t>12 179.34</t>
  </si>
  <si>
    <t>11 767.17</t>
  </si>
  <si>
    <t>11 321.01</t>
  </si>
  <si>
    <t>12 213.32</t>
  </si>
  <si>
    <t>11 683.03</t>
  </si>
  <si>
    <t>11 236.36</t>
  </si>
  <si>
    <t>12 129.70</t>
  </si>
  <si>
    <t>Descripción</t>
  </si>
  <si>
    <t>Interpretación</t>
  </si>
  <si>
    <t>Lineal simple</t>
  </si>
  <si>
    <t>Tendencia lineal sin estacionalidad</t>
  </si>
  <si>
    <t>Captura la tendencia general, pero deja mucha variabilidad sin explicar.</t>
  </si>
  <si>
    <t>Tendencia cuadrática</t>
  </si>
  <si>
    <t>Lineal estacional</t>
  </si>
  <si>
    <t>Solo estacionalidad (sin tendencia)</t>
  </si>
  <si>
    <t>Modelo completo con tendencia y estacionalidad</t>
  </si>
  <si>
    <t>Es el modelo más preciso: combina tendencia y estacionalidad, ajustando mejor los patrones reales.</t>
  </si>
  <si>
    <t>Grado del polinomio</t>
  </si>
  <si>
    <t>R² (train)</t>
  </si>
  <si>
    <t>RMSE (test)</t>
  </si>
  <si>
    <t>0.9624</t>
  </si>
  <si>
    <t>632.48</t>
  </si>
  <si>
    <t>0.9640</t>
  </si>
  <si>
    <t>546.52</t>
  </si>
  <si>
    <t>0.9657</t>
  </si>
  <si>
    <t>461.49</t>
  </si>
  <si>
    <t>0.9672</t>
  </si>
  <si>
    <t>384.85</t>
  </si>
  <si>
    <t>0.9685</t>
  </si>
  <si>
    <t>320.02</t>
  </si>
  <si>
    <t>3699.44</t>
  </si>
  <si>
    <t>12022.38</t>
  </si>
  <si>
    <t>12541.37</t>
  </si>
  <si>
    <t>13040.06</t>
  </si>
  <si>
    <t>844.51</t>
  </si>
  <si>
    <t>Tendencia con término (x²)</t>
  </si>
  <si>
    <t>Mejora la precisión al permitir curvatura en la tendencia.</t>
  </si>
  <si>
    <t>1272.22</t>
  </si>
  <si>
    <t>Tendencia + estacionalidad (grado 6)</t>
  </si>
  <si>
    <t>190.53</t>
  </si>
  <si>
    <t>10,869.87</t>
  </si>
  <si>
    <t>10,459.78</t>
  </si>
  <si>
    <t>11,279.95</t>
  </si>
  <si>
    <t>10,838.85</t>
  </si>
  <si>
    <t>10,427.77</t>
  </si>
  <si>
    <t>11,249.94</t>
  </si>
  <si>
    <t>10,892.01</t>
  </si>
  <si>
    <t>10,479.86</t>
  </si>
  <si>
    <t>11,304.15</t>
  </si>
  <si>
    <t>10,995.25</t>
  </si>
  <si>
    <t>10,581.98</t>
  </si>
  <si>
    <t>11,408.52</t>
  </si>
  <si>
    <t>10,997.81</t>
  </si>
  <si>
    <t>10,583.35</t>
  </si>
  <si>
    <t>11,412.27</t>
  </si>
  <si>
    <t>10,896.71</t>
  </si>
  <si>
    <t>10,480.99</t>
  </si>
  <si>
    <t>11,312.43</t>
  </si>
  <si>
    <t>Tendencia polinomial grado 6</t>
  </si>
  <si>
    <t>Tendencia con término (x⁶)</t>
  </si>
  <si>
    <t>Aumenta la capacidad de ajuste al permitir una tendencia más flexible, aunque puede acercarse al sobreajuste.</t>
  </si>
  <si>
    <t>La estacionalidad por sí sola no explica bien el comportamiento global de la serie.</t>
  </si>
  <si>
    <t>Supuesto</t>
  </si>
  <si>
    <t>Prueba</t>
  </si>
  <si>
    <t>p-valor</t>
  </si>
  <si>
    <t>Conclusión</t>
  </si>
  <si>
    <t>Autocorrelación</t>
  </si>
  <si>
    <t>Ljung-Box</t>
  </si>
  <si>
    <t>Hay autocorrelación</t>
  </si>
  <si>
    <t>Heteroscedasticidad</t>
  </si>
  <si>
    <t>Ljung-Box (res²), Breusch-Pagan</t>
  </si>
  <si>
    <t>Normalidad</t>
  </si>
  <si>
    <t>Shapiro-Wilk, Jarque-Bera</t>
  </si>
  <si>
    <t>No hay normalidad</t>
  </si>
  <si>
    <t>Prueba estadística</t>
  </si>
  <si>
    <t>Resultado</t>
  </si>
  <si>
    <t>P-valor</t>
  </si>
  <si>
    <t>Cumplimiento</t>
  </si>
  <si>
    <t>No autocorrelación</t>
  </si>
  <si>
    <t>Test de Ljung–Box (24 rezagos)</t>
  </si>
  <si>
    <r>
      <t xml:space="preserve">Se </t>
    </r>
    <r>
      <rPr>
        <b/>
        <sz val="11"/>
        <color theme="1"/>
        <rFont val="Aptos Narrow"/>
        <family val="2"/>
        <scheme val="minor"/>
      </rPr>
      <t>rechaza H₀</t>
    </r>
  </si>
  <si>
    <t>&lt; 0.001</t>
  </si>
  <si>
    <r>
      <t xml:space="preserve">❌ </t>
    </r>
    <r>
      <rPr>
        <b/>
        <sz val="11"/>
        <color theme="1"/>
        <rFont val="Aptos Narrow"/>
        <family val="2"/>
        <scheme val="minor"/>
      </rPr>
      <t>No cumple</t>
    </r>
  </si>
  <si>
    <t>Existe autocorrelación en los residuos, lo que indica que el modelo no capta toda la dependencia temporal.</t>
  </si>
  <si>
    <t>Test de Shapiro–Wilk</t>
  </si>
  <si>
    <t>Los residuos no siguen una distribución normal, afectando la validez de los intervalos de confianza.</t>
  </si>
  <si>
    <t>Homoscedasticidad</t>
  </si>
  <si>
    <t>Análisis visual (residuos vs tiempo)</t>
  </si>
  <si>
    <t>Varianza estable</t>
  </si>
  <si>
    <t>—</t>
  </si>
  <si>
    <r>
      <t xml:space="preserve">✅ </t>
    </r>
    <r>
      <rPr>
        <b/>
        <sz val="11"/>
        <color theme="1"/>
        <rFont val="Aptos Narrow"/>
        <family val="2"/>
        <scheme val="minor"/>
      </rPr>
      <t>Sí cumple</t>
    </r>
  </si>
  <si>
    <t>La varianza de los residuos se mantiene constante a lo largo del tiempo.</t>
  </si>
  <si>
    <t>1.27e-20</t>
  </si>
  <si>
    <t>0.5658 / 0.1890</t>
  </si>
  <si>
    <t>No hay heteroscedasticidad</t>
  </si>
  <si>
    <t>1.25e-07 / 3.05e-13</t>
  </si>
  <si>
    <t>10866.35</t>
  </si>
  <si>
    <t>10529.82</t>
  </si>
  <si>
    <t>11202.87</t>
  </si>
  <si>
    <t>10884.31</t>
  </si>
  <si>
    <t>10495.27</t>
  </si>
  <si>
    <t>11273.35</t>
  </si>
  <si>
    <t>10902.10</t>
  </si>
  <si>
    <t>10491.03</t>
  </si>
  <si>
    <t>11313.16</t>
  </si>
  <si>
    <t>10919.82</t>
  </si>
  <si>
    <t>10495.52</t>
  </si>
  <si>
    <t>11344.12</t>
  </si>
  <si>
    <t>10937.50</t>
  </si>
  <si>
    <t>10503.14</t>
  </si>
  <si>
    <t>11371.87</t>
  </si>
  <si>
    <t>10955.17</t>
  </si>
  <si>
    <t>10512.07</t>
  </si>
  <si>
    <t>11398.28</t>
  </si>
  <si>
    <t>Mejor RMSE obtenido</t>
  </si>
  <si>
    <t>Parámetro α (alpha)</t>
  </si>
  <si>
    <t>Parámetro β (beta)</t>
  </si>
  <si>
    <t>Parámetro γ (gamma)</t>
  </si>
  <si>
    <t>Tipo de estacionalidad</t>
  </si>
  <si>
    <t>Tamaño de ventana (window_size)</t>
  </si>
  <si>
    <t>Trials ejecutados</t>
  </si>
  <si>
    <t>Trials exitosos</t>
  </si>
  <si>
    <t>0.0092</t>
  </si>
  <si>
    <t>0.5313</t>
  </si>
  <si>
    <t>0.5235</t>
  </si>
  <si>
    <t>add</t>
  </si>
  <si>
    <t>Tipo de tendencia</t>
  </si>
  <si>
    <t>Límite Inferior</t>
  </si>
  <si>
    <t>Límite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</si>
</sst>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6C11-13F9-4C03-BFC2-EFBD0D58981C}">
  <dimension ref="B9:M141"/>
  <sheetViews>
    <sheetView showGridLines="0" tabSelected="1" topLeftCell="A13" zoomScale="85" zoomScaleNormal="85" workbookViewId="0">
      <selection activeCell="G33" sqref="G33"/>
    </sheetView>
  </sheetViews>
  <sheetFormatPr baseColWidth="10" defaultRowHeight="14.5" x14ac:dyDescent="0.35"/>
  <cols>
    <col min="2" max="2" width="28.81640625" customWidth="1"/>
    <col min="3" max="3" width="13.08984375" customWidth="1"/>
    <col min="4" max="4" width="15.453125" bestFit="1" customWidth="1"/>
    <col min="5" max="5" width="12.54296875" bestFit="1" customWidth="1"/>
    <col min="6" max="6" width="14.6328125" customWidth="1"/>
    <col min="7" max="7" width="60.1796875" customWidth="1"/>
    <col min="8" max="8" width="18.26953125" bestFit="1" customWidth="1"/>
    <col min="9" max="9" width="28" customWidth="1"/>
    <col min="10" max="10" width="19" customWidth="1"/>
    <col min="11" max="11" width="23.26953125" customWidth="1"/>
  </cols>
  <sheetData>
    <row r="9" spans="4:5" x14ac:dyDescent="0.35">
      <c r="D9" s="1" t="s">
        <v>0</v>
      </c>
      <c r="E9" s="1" t="s">
        <v>1</v>
      </c>
    </row>
    <row r="10" spans="4:5" x14ac:dyDescent="0.35">
      <c r="D10" s="3" t="s">
        <v>2</v>
      </c>
      <c r="E10" s="3" t="s">
        <v>3</v>
      </c>
    </row>
    <row r="11" spans="4:5" x14ac:dyDescent="0.35">
      <c r="D11" s="2" t="s">
        <v>4</v>
      </c>
      <c r="E11" s="2" t="s">
        <v>5</v>
      </c>
    </row>
    <row r="12" spans="4:5" x14ac:dyDescent="0.35">
      <c r="D12" s="2" t="s">
        <v>6</v>
      </c>
      <c r="E12" s="2" t="s">
        <v>7</v>
      </c>
    </row>
    <row r="13" spans="4:5" x14ac:dyDescent="0.35">
      <c r="D13" s="2" t="s">
        <v>8</v>
      </c>
      <c r="E13" s="2" t="s">
        <v>9</v>
      </c>
    </row>
    <row r="14" spans="4:5" x14ac:dyDescent="0.35">
      <c r="D14" s="2" t="s">
        <v>10</v>
      </c>
      <c r="E14" s="2" t="s">
        <v>11</v>
      </c>
    </row>
    <row r="17" spans="3:8" x14ac:dyDescent="0.35">
      <c r="G17" s="1" t="s">
        <v>0</v>
      </c>
      <c r="H17" s="1" t="s">
        <v>1</v>
      </c>
    </row>
    <row r="18" spans="3:8" x14ac:dyDescent="0.35">
      <c r="G18" s="2" t="s">
        <v>12</v>
      </c>
      <c r="H18" s="4" t="s">
        <v>13</v>
      </c>
    </row>
    <row r="19" spans="3:8" x14ac:dyDescent="0.35">
      <c r="G19" s="2" t="s">
        <v>14</v>
      </c>
      <c r="H19" s="4" t="s">
        <v>15</v>
      </c>
    </row>
    <row r="20" spans="3:8" x14ac:dyDescent="0.35">
      <c r="G20" s="2" t="s">
        <v>16</v>
      </c>
      <c r="H20" s="4" t="s">
        <v>17</v>
      </c>
    </row>
    <row r="21" spans="3:8" ht="29" x14ac:dyDescent="0.35">
      <c r="G21" s="3" t="s">
        <v>18</v>
      </c>
      <c r="H21" s="1" t="s">
        <v>19</v>
      </c>
    </row>
    <row r="31" spans="3:8" ht="19" customHeight="1" x14ac:dyDescent="0.35">
      <c r="C31" s="1" t="s">
        <v>20</v>
      </c>
      <c r="D31" s="1" t="s">
        <v>21</v>
      </c>
      <c r="E31" s="1" t="s">
        <v>22</v>
      </c>
      <c r="F31" s="1" t="s">
        <v>23</v>
      </c>
    </row>
    <row r="32" spans="3:8" ht="19" customHeight="1" x14ac:dyDescent="0.35">
      <c r="C32" s="5">
        <v>43647</v>
      </c>
      <c r="D32" s="4" t="s">
        <v>96</v>
      </c>
      <c r="E32" s="4" t="s">
        <v>97</v>
      </c>
      <c r="F32" s="4" t="s">
        <v>98</v>
      </c>
      <c r="H32" t="e">
        <f>F32-D32</f>
        <v>#VALUE!</v>
      </c>
    </row>
    <row r="33" spans="3:6" ht="19" customHeight="1" x14ac:dyDescent="0.35">
      <c r="C33" s="5">
        <v>43678</v>
      </c>
      <c r="D33" s="4" t="s">
        <v>99</v>
      </c>
      <c r="E33" s="4" t="s">
        <v>100</v>
      </c>
      <c r="F33" s="4" t="s">
        <v>101</v>
      </c>
    </row>
    <row r="34" spans="3:6" ht="19" customHeight="1" x14ac:dyDescent="0.35">
      <c r="C34" s="5">
        <v>43709</v>
      </c>
      <c r="D34" s="4" t="s">
        <v>102</v>
      </c>
      <c r="E34" s="4" t="s">
        <v>103</v>
      </c>
      <c r="F34" s="4" t="s">
        <v>104</v>
      </c>
    </row>
    <row r="35" spans="3:6" ht="19" customHeight="1" x14ac:dyDescent="0.35">
      <c r="C35" s="5">
        <v>43739</v>
      </c>
      <c r="D35" s="4" t="s">
        <v>105</v>
      </c>
      <c r="E35" s="4" t="s">
        <v>106</v>
      </c>
      <c r="F35" s="4" t="s">
        <v>107</v>
      </c>
    </row>
    <row r="36" spans="3:6" ht="19" customHeight="1" x14ac:dyDescent="0.35">
      <c r="C36" s="5">
        <v>43770</v>
      </c>
      <c r="D36" s="4" t="s">
        <v>108</v>
      </c>
      <c r="E36" s="4" t="s">
        <v>109</v>
      </c>
      <c r="F36" s="4" t="s">
        <v>110</v>
      </c>
    </row>
    <row r="37" spans="3:6" ht="19" customHeight="1" x14ac:dyDescent="0.35">
      <c r="C37" s="5">
        <v>43800</v>
      </c>
      <c r="D37" s="4" t="s">
        <v>111</v>
      </c>
      <c r="E37" s="4" t="s">
        <v>112</v>
      </c>
      <c r="F37" s="4" t="s">
        <v>113</v>
      </c>
    </row>
    <row r="40" spans="3:6" ht="29" x14ac:dyDescent="0.35">
      <c r="C40" s="1" t="s">
        <v>20</v>
      </c>
      <c r="D40" s="1" t="s">
        <v>21</v>
      </c>
      <c r="E40" s="1" t="s">
        <v>183</v>
      </c>
      <c r="F40" s="1" t="s">
        <v>184</v>
      </c>
    </row>
    <row r="41" spans="3:6" x14ac:dyDescent="0.35">
      <c r="C41" s="5">
        <v>43647</v>
      </c>
      <c r="D41" s="20">
        <v>10516.54</v>
      </c>
      <c r="E41" s="20">
        <v>10366.459999999999</v>
      </c>
      <c r="F41" s="20">
        <v>10666.61</v>
      </c>
    </row>
    <row r="42" spans="3:6" x14ac:dyDescent="0.35">
      <c r="C42" s="5">
        <v>43678</v>
      </c>
      <c r="D42" s="20">
        <v>10618.7</v>
      </c>
      <c r="E42" s="20">
        <v>10468.629999999999</v>
      </c>
      <c r="F42" s="20">
        <v>10768.78</v>
      </c>
    </row>
    <row r="43" spans="3:6" x14ac:dyDescent="0.35">
      <c r="C43" s="5">
        <v>43709</v>
      </c>
      <c r="D43" s="20">
        <v>10744.68</v>
      </c>
      <c r="E43" s="20">
        <v>10594.6</v>
      </c>
      <c r="F43" s="20">
        <v>10894.75</v>
      </c>
    </row>
    <row r="44" spans="3:6" x14ac:dyDescent="0.35">
      <c r="C44" s="5">
        <v>43739</v>
      </c>
      <c r="D44" s="20">
        <v>10774.87</v>
      </c>
      <c r="E44" s="20">
        <v>10624.8</v>
      </c>
      <c r="F44" s="20">
        <v>10924.94</v>
      </c>
    </row>
    <row r="45" spans="3:6" x14ac:dyDescent="0.35">
      <c r="C45" s="5">
        <v>43770</v>
      </c>
      <c r="D45" s="20">
        <v>10772.11</v>
      </c>
      <c r="E45" s="20">
        <v>10622.04</v>
      </c>
      <c r="F45" s="20">
        <v>10922.19</v>
      </c>
    </row>
    <row r="46" spans="3:6" x14ac:dyDescent="0.35">
      <c r="C46" s="5">
        <v>43800</v>
      </c>
      <c r="D46" s="20">
        <v>10800.85</v>
      </c>
      <c r="E46" s="20">
        <v>10650.77</v>
      </c>
      <c r="F46" s="20">
        <v>10950.92</v>
      </c>
    </row>
    <row r="50" spans="3:6" ht="29" x14ac:dyDescent="0.35">
      <c r="C50" s="6" t="s">
        <v>24</v>
      </c>
      <c r="D50" s="1" t="s">
        <v>21</v>
      </c>
      <c r="E50" s="1" t="s">
        <v>22</v>
      </c>
      <c r="F50" s="1" t="s">
        <v>23</v>
      </c>
    </row>
    <row r="51" spans="3:6" x14ac:dyDescent="0.35">
      <c r="C51" s="7">
        <v>43647</v>
      </c>
      <c r="D51" s="8" t="s">
        <v>25</v>
      </c>
      <c r="E51" s="8" t="s">
        <v>26</v>
      </c>
      <c r="F51" s="8" t="s">
        <v>27</v>
      </c>
    </row>
    <row r="52" spans="3:6" x14ac:dyDescent="0.35">
      <c r="C52" s="7">
        <v>43678</v>
      </c>
      <c r="D52" s="8" t="s">
        <v>28</v>
      </c>
      <c r="E52" s="8" t="s">
        <v>29</v>
      </c>
      <c r="F52" s="8" t="s">
        <v>30</v>
      </c>
    </row>
    <row r="53" spans="3:6" x14ac:dyDescent="0.35">
      <c r="C53" s="7">
        <v>43709</v>
      </c>
      <c r="D53" s="8" t="s">
        <v>31</v>
      </c>
      <c r="E53" s="8" t="s">
        <v>32</v>
      </c>
      <c r="F53" s="8" t="s">
        <v>33</v>
      </c>
    </row>
    <row r="54" spans="3:6" x14ac:dyDescent="0.35">
      <c r="C54" s="7">
        <v>43739</v>
      </c>
      <c r="D54" s="8" t="s">
        <v>34</v>
      </c>
      <c r="E54" s="8" t="s">
        <v>35</v>
      </c>
      <c r="F54" s="8" t="s">
        <v>36</v>
      </c>
    </row>
    <row r="55" spans="3:6" x14ac:dyDescent="0.35">
      <c r="C55" s="7">
        <v>43770</v>
      </c>
      <c r="D55" s="8" t="s">
        <v>37</v>
      </c>
      <c r="E55" s="8" t="s">
        <v>38</v>
      </c>
      <c r="F55" s="8" t="s">
        <v>39</v>
      </c>
    </row>
    <row r="56" spans="3:6" x14ac:dyDescent="0.35">
      <c r="C56" s="7">
        <v>43800</v>
      </c>
      <c r="D56" s="8" t="s">
        <v>40</v>
      </c>
      <c r="E56" s="8" t="s">
        <v>41</v>
      </c>
      <c r="F56" s="8" t="s">
        <v>42</v>
      </c>
    </row>
    <row r="60" spans="3:6" ht="29" x14ac:dyDescent="0.35">
      <c r="C60" s="6" t="s">
        <v>20</v>
      </c>
      <c r="D60" s="1" t="s">
        <v>21</v>
      </c>
      <c r="E60" s="1" t="s">
        <v>43</v>
      </c>
      <c r="F60" s="1" t="s">
        <v>44</v>
      </c>
    </row>
    <row r="61" spans="3:6" x14ac:dyDescent="0.35">
      <c r="C61" s="7">
        <v>43647</v>
      </c>
      <c r="D61" s="8" t="s">
        <v>45</v>
      </c>
      <c r="E61" s="8" t="s">
        <v>46</v>
      </c>
      <c r="F61" s="8" t="s">
        <v>47</v>
      </c>
    </row>
    <row r="62" spans="3:6" x14ac:dyDescent="0.35">
      <c r="C62" s="7">
        <v>43678</v>
      </c>
      <c r="D62" s="8" t="s">
        <v>48</v>
      </c>
      <c r="E62" s="8" t="s">
        <v>49</v>
      </c>
      <c r="F62" s="8" t="s">
        <v>50</v>
      </c>
    </row>
    <row r="63" spans="3:6" x14ac:dyDescent="0.35">
      <c r="C63" s="7">
        <v>43709</v>
      </c>
      <c r="D63" s="8" t="s">
        <v>51</v>
      </c>
      <c r="E63" s="8" t="s">
        <v>52</v>
      </c>
      <c r="F63" s="8" t="s">
        <v>53</v>
      </c>
    </row>
    <row r="64" spans="3:6" x14ac:dyDescent="0.35">
      <c r="C64" s="7">
        <v>43739</v>
      </c>
      <c r="D64" s="8" t="s">
        <v>54</v>
      </c>
      <c r="E64" s="8" t="s">
        <v>55</v>
      </c>
      <c r="F64" s="8" t="s">
        <v>56</v>
      </c>
    </row>
    <row r="65" spans="3:6" x14ac:dyDescent="0.35">
      <c r="C65" s="7">
        <v>43770</v>
      </c>
      <c r="D65" s="8" t="s">
        <v>57</v>
      </c>
      <c r="E65" s="8" t="s">
        <v>58</v>
      </c>
      <c r="F65" s="8" t="s">
        <v>59</v>
      </c>
    </row>
    <row r="66" spans="3:6" x14ac:dyDescent="0.35">
      <c r="C66" s="7">
        <v>43800</v>
      </c>
      <c r="D66" s="8" t="s">
        <v>60</v>
      </c>
      <c r="E66" s="8" t="s">
        <v>61</v>
      </c>
      <c r="F66" s="8" t="s">
        <v>62</v>
      </c>
    </row>
    <row r="68" spans="3:6" ht="17.5" customHeight="1" x14ac:dyDescent="0.35">
      <c r="C68" s="6" t="s">
        <v>24</v>
      </c>
      <c r="D68" s="1" t="s">
        <v>21</v>
      </c>
      <c r="E68" s="1" t="s">
        <v>22</v>
      </c>
      <c r="F68" s="1" t="s">
        <v>23</v>
      </c>
    </row>
    <row r="69" spans="3:6" x14ac:dyDescent="0.35">
      <c r="C69" s="7">
        <v>43647</v>
      </c>
      <c r="D69" s="8" t="s">
        <v>152</v>
      </c>
      <c r="E69" s="8" t="s">
        <v>153</v>
      </c>
      <c r="F69" s="8" t="s">
        <v>154</v>
      </c>
    </row>
    <row r="70" spans="3:6" x14ac:dyDescent="0.35">
      <c r="C70" s="7">
        <v>43678</v>
      </c>
      <c r="D70" s="8" t="s">
        <v>155</v>
      </c>
      <c r="E70" s="8" t="s">
        <v>156</v>
      </c>
      <c r="F70" s="8" t="s">
        <v>157</v>
      </c>
    </row>
    <row r="71" spans="3:6" x14ac:dyDescent="0.35">
      <c r="C71" s="7">
        <v>43709</v>
      </c>
      <c r="D71" s="8" t="s">
        <v>158</v>
      </c>
      <c r="E71" s="8" t="s">
        <v>159</v>
      </c>
      <c r="F71" s="8" t="s">
        <v>160</v>
      </c>
    </row>
    <row r="72" spans="3:6" x14ac:dyDescent="0.35">
      <c r="C72" s="7">
        <v>43739</v>
      </c>
      <c r="D72" s="8" t="s">
        <v>161</v>
      </c>
      <c r="E72" s="8" t="s">
        <v>162</v>
      </c>
      <c r="F72" s="8" t="s">
        <v>163</v>
      </c>
    </row>
    <row r="73" spans="3:6" x14ac:dyDescent="0.35">
      <c r="C73" s="7">
        <v>43770</v>
      </c>
      <c r="D73" s="8" t="s">
        <v>164</v>
      </c>
      <c r="E73" s="8" t="s">
        <v>165</v>
      </c>
      <c r="F73" s="8" t="s">
        <v>166</v>
      </c>
    </row>
    <row r="74" spans="3:6" x14ac:dyDescent="0.35">
      <c r="C74" s="7">
        <v>43800</v>
      </c>
      <c r="D74" s="8" t="s">
        <v>167</v>
      </c>
      <c r="E74" s="8" t="s">
        <v>168</v>
      </c>
      <c r="F74" s="8" t="s">
        <v>169</v>
      </c>
    </row>
    <row r="77" spans="3:6" x14ac:dyDescent="0.35">
      <c r="C77" s="1" t="s">
        <v>0</v>
      </c>
      <c r="D77" s="1" t="s">
        <v>63</v>
      </c>
      <c r="E77" s="1" t="s">
        <v>1</v>
      </c>
      <c r="F77" s="1" t="s">
        <v>64</v>
      </c>
    </row>
    <row r="78" spans="3:6" ht="87" x14ac:dyDescent="0.35">
      <c r="C78" s="3" t="s">
        <v>65</v>
      </c>
      <c r="D78" s="2" t="s">
        <v>66</v>
      </c>
      <c r="E78" s="1" t="s">
        <v>90</v>
      </c>
      <c r="F78" s="2" t="s">
        <v>67</v>
      </c>
    </row>
    <row r="79" spans="3:6" ht="72.5" x14ac:dyDescent="0.35">
      <c r="C79" s="3" t="s">
        <v>68</v>
      </c>
      <c r="D79" s="2" t="s">
        <v>91</v>
      </c>
      <c r="E79" s="1" t="s">
        <v>77</v>
      </c>
      <c r="F79" s="2" t="s">
        <v>92</v>
      </c>
    </row>
    <row r="80" spans="3:6" ht="116" x14ac:dyDescent="0.35">
      <c r="C80" s="3" t="s">
        <v>114</v>
      </c>
      <c r="D80" s="2" t="s">
        <v>115</v>
      </c>
      <c r="E80" s="1" t="s">
        <v>85</v>
      </c>
      <c r="F80" s="2" t="s">
        <v>116</v>
      </c>
    </row>
    <row r="81" spans="3:11" ht="101.5" x14ac:dyDescent="0.35">
      <c r="C81" s="3" t="s">
        <v>69</v>
      </c>
      <c r="D81" s="2" t="s">
        <v>70</v>
      </c>
      <c r="E81" s="1" t="s">
        <v>93</v>
      </c>
      <c r="F81" s="2" t="s">
        <v>117</v>
      </c>
    </row>
    <row r="82" spans="3:11" ht="116" x14ac:dyDescent="0.35">
      <c r="C82" s="3" t="s">
        <v>94</v>
      </c>
      <c r="D82" s="2" t="s">
        <v>71</v>
      </c>
      <c r="E82" s="1" t="s">
        <v>95</v>
      </c>
      <c r="F82" s="2" t="s">
        <v>72</v>
      </c>
    </row>
    <row r="91" spans="3:11" x14ac:dyDescent="0.35">
      <c r="H91" s="6" t="s">
        <v>118</v>
      </c>
      <c r="I91" s="6" t="s">
        <v>119</v>
      </c>
      <c r="J91" s="1" t="s">
        <v>120</v>
      </c>
      <c r="K91" s="6" t="s">
        <v>121</v>
      </c>
    </row>
    <row r="92" spans="3:11" x14ac:dyDescent="0.35">
      <c r="H92" s="6" t="s">
        <v>122</v>
      </c>
      <c r="I92" s="13" t="s">
        <v>123</v>
      </c>
      <c r="J92" s="4" t="s">
        <v>148</v>
      </c>
      <c r="K92" s="13" t="s">
        <v>124</v>
      </c>
    </row>
    <row r="93" spans="3:11" ht="29" x14ac:dyDescent="0.35">
      <c r="H93" s="6" t="s">
        <v>125</v>
      </c>
      <c r="I93" s="13" t="s">
        <v>126</v>
      </c>
      <c r="J93" s="4" t="s">
        <v>149</v>
      </c>
      <c r="K93" s="13" t="s">
        <v>150</v>
      </c>
    </row>
    <row r="94" spans="3:11" x14ac:dyDescent="0.35">
      <c r="H94" s="6" t="s">
        <v>127</v>
      </c>
      <c r="I94" s="13" t="s">
        <v>128</v>
      </c>
      <c r="J94" s="4" t="s">
        <v>151</v>
      </c>
      <c r="K94" s="13" t="s">
        <v>129</v>
      </c>
    </row>
    <row r="99" spans="2:13" x14ac:dyDescent="0.35">
      <c r="B99" s="2" t="s">
        <v>177</v>
      </c>
      <c r="C99" s="4">
        <v>1000</v>
      </c>
    </row>
    <row r="101" spans="2:13" ht="29" x14ac:dyDescent="0.35">
      <c r="H101" s="14" t="s">
        <v>118</v>
      </c>
      <c r="I101" s="14" t="s">
        <v>130</v>
      </c>
      <c r="J101" s="14" t="s">
        <v>131</v>
      </c>
      <c r="K101" s="14" t="s">
        <v>132</v>
      </c>
      <c r="L101" s="14" t="s">
        <v>133</v>
      </c>
      <c r="M101" s="14" t="s">
        <v>64</v>
      </c>
    </row>
    <row r="102" spans="2:13" ht="159.5" x14ac:dyDescent="0.35">
      <c r="H102" s="16" t="s">
        <v>134</v>
      </c>
      <c r="I102" s="15" t="s">
        <v>135</v>
      </c>
      <c r="J102" s="15" t="s">
        <v>136</v>
      </c>
      <c r="K102" s="15" t="s">
        <v>137</v>
      </c>
      <c r="L102" s="15" t="s">
        <v>138</v>
      </c>
      <c r="M102" s="15" t="s">
        <v>139</v>
      </c>
    </row>
    <row r="103" spans="2:13" ht="159.5" x14ac:dyDescent="0.35">
      <c r="H103" s="16" t="s">
        <v>127</v>
      </c>
      <c r="I103" s="15" t="s">
        <v>140</v>
      </c>
      <c r="J103" s="15" t="s">
        <v>136</v>
      </c>
      <c r="K103" s="15" t="s">
        <v>137</v>
      </c>
      <c r="L103" s="15" t="s">
        <v>138</v>
      </c>
      <c r="M103" s="15" t="s">
        <v>141</v>
      </c>
    </row>
    <row r="104" spans="2:13" ht="101.5" x14ac:dyDescent="0.35">
      <c r="H104" s="16" t="s">
        <v>142</v>
      </c>
      <c r="I104" s="15" t="s">
        <v>143</v>
      </c>
      <c r="J104" s="15" t="s">
        <v>144</v>
      </c>
      <c r="K104" s="15" t="s">
        <v>145</v>
      </c>
      <c r="L104" s="15" t="s">
        <v>146</v>
      </c>
      <c r="M104" s="15" t="s">
        <v>147</v>
      </c>
    </row>
    <row r="114" spans="9:11" x14ac:dyDescent="0.35">
      <c r="I114" s="9" t="s">
        <v>73</v>
      </c>
      <c r="J114" s="9" t="s">
        <v>74</v>
      </c>
      <c r="K114" s="9" t="s">
        <v>75</v>
      </c>
    </row>
    <row r="115" spans="9:11" x14ac:dyDescent="0.35">
      <c r="I115" s="10">
        <v>2</v>
      </c>
      <c r="J115" s="10" t="s">
        <v>76</v>
      </c>
      <c r="K115" s="10" t="s">
        <v>77</v>
      </c>
    </row>
    <row r="116" spans="9:11" x14ac:dyDescent="0.35">
      <c r="I116" s="10">
        <v>3</v>
      </c>
      <c r="J116" s="10" t="s">
        <v>78</v>
      </c>
      <c r="K116" s="10" t="s">
        <v>79</v>
      </c>
    </row>
    <row r="117" spans="9:11" x14ac:dyDescent="0.35">
      <c r="I117" s="10">
        <v>4</v>
      </c>
      <c r="J117" s="10" t="s">
        <v>80</v>
      </c>
      <c r="K117" s="10" t="s">
        <v>81</v>
      </c>
    </row>
    <row r="118" spans="9:11" x14ac:dyDescent="0.35">
      <c r="I118" s="10">
        <v>5</v>
      </c>
      <c r="J118" s="10" t="s">
        <v>82</v>
      </c>
      <c r="K118" s="10" t="s">
        <v>83</v>
      </c>
    </row>
    <row r="119" spans="9:11" x14ac:dyDescent="0.35">
      <c r="I119" s="11">
        <v>6</v>
      </c>
      <c r="J119" s="11" t="s">
        <v>84</v>
      </c>
      <c r="K119" s="11" t="s">
        <v>85</v>
      </c>
    </row>
    <row r="120" spans="9:11" x14ac:dyDescent="0.35">
      <c r="I120" s="10">
        <v>7</v>
      </c>
      <c r="J120" s="12">
        <v>-43530</v>
      </c>
      <c r="K120" s="10" t="s">
        <v>86</v>
      </c>
    </row>
    <row r="121" spans="9:11" x14ac:dyDescent="0.35">
      <c r="I121" s="10">
        <v>8</v>
      </c>
      <c r="J121" s="12">
        <v>-357405</v>
      </c>
      <c r="K121" s="10" t="s">
        <v>87</v>
      </c>
    </row>
    <row r="122" spans="9:11" x14ac:dyDescent="0.35">
      <c r="I122" s="10">
        <v>9</v>
      </c>
      <c r="J122" s="12">
        <v>-370772</v>
      </c>
      <c r="K122" s="10" t="s">
        <v>88</v>
      </c>
    </row>
    <row r="123" spans="9:11" x14ac:dyDescent="0.35">
      <c r="I123" s="10">
        <v>10</v>
      </c>
      <c r="J123" s="12">
        <v>-381932</v>
      </c>
      <c r="K123" s="10" t="s">
        <v>89</v>
      </c>
    </row>
    <row r="132" spans="2:3" x14ac:dyDescent="0.35">
      <c r="B132" s="1" t="s">
        <v>63</v>
      </c>
      <c r="C132" s="1" t="s">
        <v>131</v>
      </c>
    </row>
    <row r="133" spans="2:3" x14ac:dyDescent="0.35">
      <c r="B133" s="2" t="s">
        <v>170</v>
      </c>
      <c r="C133" s="18">
        <v>76.568200000000004</v>
      </c>
    </row>
    <row r="134" spans="2:3" x14ac:dyDescent="0.35">
      <c r="B134" s="2" t="s">
        <v>171</v>
      </c>
      <c r="C134" s="4" t="s">
        <v>178</v>
      </c>
    </row>
    <row r="135" spans="2:3" x14ac:dyDescent="0.35">
      <c r="B135" s="2" t="s">
        <v>172</v>
      </c>
      <c r="C135" s="4" t="s">
        <v>179</v>
      </c>
    </row>
    <row r="136" spans="2:3" x14ac:dyDescent="0.35">
      <c r="B136" s="2" t="s">
        <v>173</v>
      </c>
      <c r="C136" s="4" t="s">
        <v>180</v>
      </c>
    </row>
    <row r="137" spans="2:3" x14ac:dyDescent="0.35">
      <c r="B137" s="2" t="s">
        <v>174</v>
      </c>
      <c r="C137" s="4" t="s">
        <v>181</v>
      </c>
    </row>
    <row r="138" spans="2:3" x14ac:dyDescent="0.35">
      <c r="B138" s="2" t="s">
        <v>182</v>
      </c>
      <c r="C138" s="4" t="s">
        <v>181</v>
      </c>
    </row>
    <row r="139" spans="2:3" x14ac:dyDescent="0.35">
      <c r="B139" s="2" t="s">
        <v>175</v>
      </c>
      <c r="C139" s="4">
        <v>30</v>
      </c>
    </row>
    <row r="140" spans="2:3" x14ac:dyDescent="0.35">
      <c r="B140" s="17" t="s">
        <v>176</v>
      </c>
      <c r="C140" s="19">
        <v>1000</v>
      </c>
    </row>
    <row r="141" spans="2:3" x14ac:dyDescent="0.35">
      <c r="B141" s="17" t="s">
        <v>177</v>
      </c>
      <c r="C141" s="19">
        <v>1000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Torres</dc:creator>
  <cp:lastModifiedBy>Alexander Torres</cp:lastModifiedBy>
  <dcterms:created xsi:type="dcterms:W3CDTF">2025-10-30T22:01:25Z</dcterms:created>
  <dcterms:modified xsi:type="dcterms:W3CDTF">2025-11-16T00:03:42Z</dcterms:modified>
</cp:coreProperties>
</file>